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980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<sst xmlns="http://schemas.openxmlformats.org/spreadsheetml/2006/main" count="154" uniqueCount="151">
  <si>
    <t>开发量及费用评估</t>
  </si>
  <si>
    <t>系统名称</t>
  </si>
  <si>
    <t>一级功能</t>
  </si>
  <si>
    <t>二级功能</t>
  </si>
  <si>
    <t>工时评估/人天</t>
  </si>
  <si>
    <t>产品设计</t>
  </si>
  <si>
    <t>UI设计</t>
  </si>
  <si>
    <t>前端开发</t>
  </si>
  <si>
    <t>后端开发</t>
  </si>
  <si>
    <t>系统测试</t>
  </si>
  <si>
    <t>项目经理</t>
  </si>
  <si>
    <t>合计</t>
  </si>
  <si>
    <t>尊出行运营管理后台</t>
  </si>
  <si>
    <t>登录</t>
  </si>
  <si>
    <t>提供使用账号密码登录</t>
  </si>
  <si>
    <t>工作台</t>
  </si>
  <si>
    <t>汇总展示运行数据图含订单数据 财务数据等</t>
  </si>
  <si>
    <t>企业管理</t>
  </si>
  <si>
    <t>入驻审核（小程序申请 + 后台直接添加 两种来源）</t>
  </si>
  <si>
    <t>审核通过 → 开通企业端 + 初始化额度</t>
  </si>
  <si>
    <t>企业列表 + 信息维护 + 状态（正常/禁用）</t>
  </si>
  <si>
    <t>企业管理员账号管理</t>
  </si>
  <si>
    <t>运营区域</t>
  </si>
  <si>
    <t>地图绘制服务区域（多边形围栏）</t>
  </si>
  <si>
    <t>区域列表 + 编辑 + 删除</t>
  </si>
  <si>
    <t>不在服务区乘客端不可下单</t>
  </si>
  <si>
    <t>调度管理</t>
  </si>
  <si>
    <t>调度订单列表</t>
  </si>
  <si>
    <t>系统自动分配 + 手动改派</t>
  </si>
  <si>
    <t>改派记录</t>
  </si>
  <si>
    <t>订单管理</t>
  </si>
  <si>
    <t>多条件查询（编号/手机号/状态/时间/场景/企业）</t>
  </si>
  <si>
    <t>预约/支付/行程/评价/售后全信息查看</t>
  </si>
  <si>
    <t>标记异常订单+处理记录+跟踪</t>
  </si>
  <si>
    <t>订单导出</t>
  </si>
  <si>
    <t>车辆管理</t>
  </si>
  <si>
    <t>车辆查询</t>
  </si>
  <si>
    <t>状态管理（正常/维修/禁用）</t>
  </si>
  <si>
    <t>车辆-司机绑定（多对多）</t>
  </si>
  <si>
    <t>司机管理</t>
  </si>
  <si>
    <t>司机查询</t>
  </si>
  <si>
    <t>证件审核（身份证/驾驶证）</t>
  </si>
  <si>
    <t>状态管理 + 重置密码</t>
  </si>
  <si>
    <t>排班管理（精确到小时）</t>
  </si>
  <si>
    <t>数据报表（月订单量/完成率/综合评分）</t>
  </si>
  <si>
    <t>环检照片查看</t>
  </si>
  <si>
    <t>司机结算</t>
  </si>
  <si>
    <t>月抽成计算（按场景比例 × 子订单金额）</t>
  </si>
  <si>
    <t>月度结算单生成 + 导出</t>
  </si>
  <si>
    <t>财务管理</t>
  </si>
  <si>
    <t>企业月度账单生成 + 导出 + 对账确认</t>
  </si>
  <si>
    <t>企业结算状态跟踪</t>
  </si>
  <si>
    <t>支付记录查询 + 异常核实</t>
  </si>
  <si>
    <t>退款审核 + 执行 + 进度跟踪</t>
  </si>
  <si>
    <t>财务统计报表 + 导出</t>
  </si>
  <si>
    <t>定价配置</t>
  </si>
  <si>
    <t>公商务出行用车计费</t>
  </si>
  <si>
    <t>套餐价（4h/8h）+ 超时费 + 超里程费</t>
  </si>
  <si>
    <t>租车日租价 + 送取车费</t>
  </si>
  <si>
    <t>接送机计费 + 等待费</t>
  </si>
  <si>
    <t>司机抽成比例（按场景）</t>
  </si>
  <si>
    <t>取消违约金规则</t>
  </si>
  <si>
    <t>系统配置</t>
  </si>
  <si>
    <t>消息模板 + 系统日志</t>
  </si>
  <si>
    <t>权限管理</t>
  </si>
  <si>
    <t>角色管理：超级管理员/运营管理员/财务管理员/客服管理员，不同角色不同权限</t>
  </si>
  <si>
    <t>管理员管理：新增/编辑/删除管理员账号，分配角色</t>
  </si>
  <si>
    <t>操作日志:记录所有管理员操作日志，支持查询导出</t>
  </si>
  <si>
    <t>账号安全:锁定/解锁管理员账号，重置密码</t>
  </si>
  <si>
    <t>数据报表</t>
  </si>
  <si>
    <t>核心数据统计 + 报表导出（Excel）</t>
  </si>
  <si>
    <t>企业管理后台</t>
  </si>
  <si>
    <t xml:space="preserve">登录	</t>
  </si>
  <si>
    <t xml:space="preserve">员工管理	</t>
  </si>
  <si>
    <t>添加员工（手机号）</t>
  </si>
  <si>
    <t>删除员工前校验是否有未完成订单，有则提示不可删除</t>
  </si>
  <si>
    <t>展示姓名/手机号/用车次数/消费金额</t>
  </si>
  <si>
    <t>订单查看</t>
  </si>
  <si>
    <t>实时查看本企业所有企业支付订单</t>
  </si>
  <si>
    <t>按时间/员工/出行场景筛选</t>
  </si>
  <si>
    <t>查看单个订单完整信息</t>
  </si>
  <si>
    <t>额度查看</t>
  </si>
  <si>
    <t>总额度 + 已用额度 + 剩余额度实时展示</t>
  </si>
  <si>
    <t>月度账单</t>
  </si>
  <si>
    <t>每月账单总金额 + 明细</t>
  </si>
  <si>
    <t>导出账单文件</t>
  </si>
  <si>
    <t>查看历史月份账单</t>
  </si>
  <si>
    <t>乘客端</t>
  </si>
  <si>
    <t>登录注册</t>
  </si>
  <si>
    <t>手机号+验证码注册</t>
  </si>
  <si>
    <t>微信快捷登录</t>
  </si>
  <si>
    <t>企业入驻申请</t>
  </si>
  <si>
    <t>填写企业信息（名称/税号/联系人/联系方式）</t>
  </si>
  <si>
    <t>上传营业执照</t>
  </si>
  <si>
    <t>提交审核 → 审核状态查看</t>
  </si>
  <si>
    <t>审核通过后开通企业端</t>
  </si>
  <si>
    <t>公商务出行</t>
  </si>
  <si>
    <t>预约出行</t>
  </si>
  <si>
    <t>会议出行：预约叫车、多日行程</t>
  </si>
  <si>
    <t>机场接送：航班同步、延误处理</t>
  </si>
  <si>
    <t>车主权益用车</t>
  </si>
  <si>
    <t>年度免费次数展示与查询</t>
  </si>
  <si>
    <t>预约、核销全流程</t>
  </si>
  <si>
    <t>支付</t>
  </si>
  <si>
    <t>个人支付：微信支付</t>
  </si>
  <si>
    <t>企业支付：选择关联企业 → 校验额度 → 直接下单（月底对账）</t>
  </si>
  <si>
    <t>额度不足提示联系企业管理员</t>
  </si>
  <si>
    <t>超时未支付自动取消</t>
  </si>
  <si>
    <t>取消订单退款（扣违约金）</t>
  </si>
  <si>
    <t>行程管理</t>
  </si>
  <si>
    <t>展示所有订单，按状态筛选（待出发/行程中/已完成/已取消）</t>
  </si>
  <si>
    <t>完整订单信息：路线/费用/车辆/司机/状态</t>
  </si>
  <si>
    <t>待出发订单可取消，展示违约金规则</t>
  </si>
  <si>
    <t>已完成+已取消订单列表，支持一键复用重新下单</t>
  </si>
  <si>
    <t>行程中实时查看车辆位置</t>
  </si>
  <si>
    <t>行程中通过虚拟号码呼叫司机，保护双方隐私</t>
  </si>
  <si>
    <t>1-5 星评分（司机/车辆/服务）填写评价内容</t>
  </si>
  <si>
    <t>电子发票</t>
  </si>
  <si>
    <t>已完成订单可申请开具电子发票（企业抬头）</t>
  </si>
  <si>
    <t>查看发票历史记录，下载/转发发票</t>
  </si>
  <si>
    <t>个人中心</t>
  </si>
  <si>
    <t>头像/昵称/手机号，支持修改</t>
  </si>
  <si>
    <t>关联企业列表，展示每家企业可用额度</t>
  </si>
  <si>
    <t>订单状态/支付/退款/系统通知</t>
  </si>
  <si>
    <t>常见问题解答、用车规则说明</t>
  </si>
  <si>
    <t>司机端</t>
  </si>
  <si>
    <t>注册认证</t>
  </si>
  <si>
    <t>手机号+验证码注册/登录</t>
  </si>
  <si>
    <t>上传身份证正反面 + 驾驶证 + 人脸核验</t>
  </si>
  <si>
    <t>查看认证审核进度</t>
  </si>
  <si>
    <t>订单接收</t>
  </si>
  <si>
    <t>普通行程 / 长包车子订单 / 送取车任务，三种类型区分展示</t>
  </si>
  <si>
    <t>新订单实时推送通知</t>
  </si>
  <si>
    <t>查看乘客信息/路线/费用/时间等完整信息</t>
  </si>
  <si>
    <t>行程执行</t>
  </si>
  <si>
    <t>出车前环车拍照，自动加水印（时间+位置+司机名）</t>
  </si>
  <si>
    <t>照片上传至后台留存</t>
  </si>
  <si>
    <t>导航至乘客出发地</t>
  </si>
  <si>
    <t>确认到达出发地，通知乘客；通过虚拟号码呼叫乘客</t>
  </si>
  <si>
    <t>乘客上车后开始行程</t>
  </si>
  <si>
    <t>行程中实时导航</t>
  </si>
  <si>
    <t>到达地点，结束行程</t>
  </si>
  <si>
    <t>收入报表</t>
  </si>
  <si>
    <t>当月收入汇总</t>
  </si>
  <si>
    <t>每笔订单收入明细（按场景抽成比例计算）</t>
  </si>
  <si>
    <t>按月查看历史收入记录</t>
  </si>
  <si>
    <t>月订单量 + 完成率统计</t>
  </si>
  <si>
    <t>乘客评价综合评分查看</t>
  </si>
  <si>
    <t>个人基础信息</t>
  </si>
  <si>
    <t>合计人天</t>
  </si>
  <si>
    <t>合计费用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</si>
</sst>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theme="1"/>
      <name val="等线"/>
      <charset val="134"/>
      <scheme val="minor"/>
    </font>
    <font>
      <b/>
      <sz val="10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1"/>
      <name val="等线"/>
      <charset val="134"/>
      <scheme val="minor"/>
    </font>
    <font>
      <b/>
      <sz val="12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333333"/>
      <name val="微软雅黑"/>
      <charset val="134"/>
    </font>
    <font>
      <sz val="11"/>
      <color rgb="FF33333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9BEFF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5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8" fillId="0" borderId="1" xfId="0" applyFont="1" applyBorder="1">
      <alignment vertical="center"/>
    </xf>
    <xf numFmtId="0" fontId="5" fillId="0" borderId="1" xfId="0" applyFont="1" applyFill="1" applyBorder="1">
      <alignment vertical="center"/>
    </xf>
    <xf numFmtId="0" fontId="9" fillId="0" borderId="0" xfId="0" applyFont="1" applyFill="1">
      <alignment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9"/>
  <sheetViews>
    <sheetView tabSelected="1" topLeftCell="A12" workbookViewId="0">
      <selection activeCell="L8" sqref="L8"/>
    </sheetView>
  </sheetViews>
  <sheetFormatPr defaultColWidth="10.3846153846154" defaultRowHeight="16.8"/>
  <cols>
    <col min="1" max="1" width="18.6153846153846" style="3" customWidth="1"/>
    <col min="2" max="2" width="18.8846153846154" style="3" customWidth="1"/>
    <col min="3" max="3" width="53.5480769230769" style="3" customWidth="1"/>
    <col min="4" max="9" width="13.6730769230769" style="4"/>
    <col min="10" max="26" width="13.6730769230769" style="3"/>
  </cols>
  <sheetData>
    <row r="1" customFormat="1" ht="17.6" spans="1:26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1" spans="1:26">
      <c r="A2" s="6" t="s">
        <v>1</v>
      </c>
      <c r="B2" s="6" t="s">
        <v>2</v>
      </c>
      <c r="C2" s="6" t="s">
        <v>3</v>
      </c>
      <c r="D2" s="7" t="s">
        <v>4</v>
      </c>
      <c r="E2" s="7"/>
      <c r="F2" s="7"/>
      <c r="G2" s="7"/>
      <c r="H2" s="7"/>
      <c r="I2" s="7"/>
      <c r="J2" s="7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7" spans="1:10">
      <c r="A3" s="8"/>
      <c r="B3" s="8"/>
      <c r="C3" s="8"/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</row>
    <row r="4" ht="30" customHeight="1" spans="1:10">
      <c r="A4" s="10" t="s">
        <v>12</v>
      </c>
      <c r="B4" s="11" t="s">
        <v>13</v>
      </c>
      <c r="C4" s="11" t="s">
        <v>14</v>
      </c>
      <c r="D4" s="12">
        <v>0.5</v>
      </c>
      <c r="E4" s="12">
        <v>0.5</v>
      </c>
      <c r="F4" s="12">
        <v>0.5</v>
      </c>
      <c r="G4" s="12">
        <v>1</v>
      </c>
      <c r="H4" s="12">
        <v>1</v>
      </c>
      <c r="I4" s="14">
        <v>5</v>
      </c>
      <c r="J4" s="16">
        <f>D4+E4+F4+G4+H4</f>
        <v>3.5</v>
      </c>
    </row>
    <row r="5" ht="30" customHeight="1" spans="1:10">
      <c r="A5" s="10"/>
      <c r="B5" s="11" t="s">
        <v>15</v>
      </c>
      <c r="C5" s="11" t="s">
        <v>16</v>
      </c>
      <c r="D5" s="13">
        <v>1</v>
      </c>
      <c r="E5" s="12">
        <v>0.5</v>
      </c>
      <c r="F5" s="12">
        <v>1</v>
      </c>
      <c r="G5" s="12">
        <v>2</v>
      </c>
      <c r="H5" s="12">
        <v>1</v>
      </c>
      <c r="I5" s="14"/>
      <c r="J5" s="16">
        <f>D5+E5+F5+G5+H5</f>
        <v>5.5</v>
      </c>
    </row>
    <row r="6" ht="30" customHeight="1" spans="1:10">
      <c r="A6" s="10"/>
      <c r="B6" s="11" t="s">
        <v>17</v>
      </c>
      <c r="C6" s="11" t="s">
        <v>18</v>
      </c>
      <c r="D6" s="14">
        <v>1</v>
      </c>
      <c r="E6" s="14">
        <v>0.5</v>
      </c>
      <c r="F6" s="14">
        <v>1</v>
      </c>
      <c r="G6" s="14">
        <v>3</v>
      </c>
      <c r="H6" s="14">
        <v>1</v>
      </c>
      <c r="I6" s="14"/>
      <c r="J6" s="17">
        <f>D6+E6+F6+G6+H6</f>
        <v>6.5</v>
      </c>
    </row>
    <row r="7" ht="30" customHeight="1" spans="1:10">
      <c r="A7" s="10"/>
      <c r="B7" s="11"/>
      <c r="C7" s="11" t="s">
        <v>19</v>
      </c>
      <c r="D7" s="14"/>
      <c r="E7" s="14"/>
      <c r="F7" s="14"/>
      <c r="G7" s="14"/>
      <c r="H7" s="14"/>
      <c r="I7" s="14"/>
      <c r="J7" s="17"/>
    </row>
    <row r="8" ht="30" customHeight="1" spans="1:10">
      <c r="A8" s="10"/>
      <c r="B8" s="11"/>
      <c r="C8" s="11" t="s">
        <v>20</v>
      </c>
      <c r="D8" s="14"/>
      <c r="E8" s="14"/>
      <c r="F8" s="14"/>
      <c r="G8" s="14"/>
      <c r="H8" s="14"/>
      <c r="I8" s="14"/>
      <c r="J8" s="17"/>
    </row>
    <row r="9" ht="30" customHeight="1" spans="1:10">
      <c r="A9" s="10"/>
      <c r="B9" s="11"/>
      <c r="C9" s="11" t="s">
        <v>21</v>
      </c>
      <c r="D9" s="14"/>
      <c r="E9" s="14"/>
      <c r="F9" s="14"/>
      <c r="G9" s="14"/>
      <c r="H9" s="14"/>
      <c r="I9" s="14"/>
      <c r="J9" s="17"/>
    </row>
    <row r="10" ht="30" customHeight="1" spans="1:10">
      <c r="A10" s="10"/>
      <c r="B10" s="11" t="s">
        <v>22</v>
      </c>
      <c r="C10" s="11" t="s">
        <v>23</v>
      </c>
      <c r="D10" s="14">
        <v>3</v>
      </c>
      <c r="E10" s="14">
        <v>1</v>
      </c>
      <c r="F10" s="14">
        <v>4</v>
      </c>
      <c r="G10" s="14">
        <v>5</v>
      </c>
      <c r="H10" s="14">
        <v>3</v>
      </c>
      <c r="I10" s="14"/>
      <c r="J10" s="17">
        <f>D10+E10+F10+G10+H10</f>
        <v>16</v>
      </c>
    </row>
    <row r="11" ht="30" customHeight="1" spans="1:10">
      <c r="A11" s="10"/>
      <c r="B11" s="11"/>
      <c r="C11" s="11" t="s">
        <v>24</v>
      </c>
      <c r="D11" s="14"/>
      <c r="E11" s="14"/>
      <c r="F11" s="14"/>
      <c r="G11" s="14"/>
      <c r="H11" s="14"/>
      <c r="I11" s="14"/>
      <c r="J11" s="17"/>
    </row>
    <row r="12" ht="30" customHeight="1" spans="1:10">
      <c r="A12" s="10"/>
      <c r="B12" s="11"/>
      <c r="C12" s="11" t="s">
        <v>25</v>
      </c>
      <c r="D12" s="14"/>
      <c r="E12" s="14"/>
      <c r="F12" s="14"/>
      <c r="G12" s="14"/>
      <c r="H12" s="14"/>
      <c r="I12" s="14"/>
      <c r="J12" s="17"/>
    </row>
    <row r="13" ht="30" customHeight="1" spans="1:10">
      <c r="A13" s="10"/>
      <c r="B13" s="11" t="s">
        <v>26</v>
      </c>
      <c r="C13" s="11" t="s">
        <v>27</v>
      </c>
      <c r="D13" s="14">
        <v>3</v>
      </c>
      <c r="E13" s="14">
        <v>1</v>
      </c>
      <c r="F13" s="14">
        <v>2</v>
      </c>
      <c r="G13" s="14">
        <v>4</v>
      </c>
      <c r="H13" s="14">
        <v>1.5</v>
      </c>
      <c r="I13" s="14"/>
      <c r="J13" s="17">
        <f>D13+E13+F13+G13+H13</f>
        <v>11.5</v>
      </c>
    </row>
    <row r="14" ht="30" customHeight="1" spans="1:10">
      <c r="A14" s="10"/>
      <c r="B14" s="11"/>
      <c r="C14" s="11" t="s">
        <v>28</v>
      </c>
      <c r="D14" s="14"/>
      <c r="E14" s="14"/>
      <c r="F14" s="14"/>
      <c r="G14" s="14"/>
      <c r="H14" s="14"/>
      <c r="I14" s="14"/>
      <c r="J14" s="17"/>
    </row>
    <row r="15" ht="30" customHeight="1" spans="1:10">
      <c r="A15" s="10"/>
      <c r="B15" s="11"/>
      <c r="C15" s="11" t="s">
        <v>29</v>
      </c>
      <c r="D15" s="14"/>
      <c r="E15" s="14"/>
      <c r="F15" s="14"/>
      <c r="G15" s="14"/>
      <c r="H15" s="14"/>
      <c r="I15" s="14"/>
      <c r="J15" s="17"/>
    </row>
    <row r="16" ht="30" customHeight="1" spans="1:10">
      <c r="A16" s="10"/>
      <c r="B16" s="11" t="s">
        <v>30</v>
      </c>
      <c r="C16" s="11" t="s">
        <v>31</v>
      </c>
      <c r="D16" s="14">
        <v>2</v>
      </c>
      <c r="E16" s="14">
        <v>1</v>
      </c>
      <c r="F16" s="14">
        <v>1.5</v>
      </c>
      <c r="G16" s="14">
        <v>3</v>
      </c>
      <c r="H16" s="14">
        <v>1.5</v>
      </c>
      <c r="I16" s="14"/>
      <c r="J16" s="17">
        <f>D16+E16+F16+G16+H16</f>
        <v>9</v>
      </c>
    </row>
    <row r="17" ht="30" customHeight="1" spans="1:10">
      <c r="A17" s="10"/>
      <c r="B17" s="11"/>
      <c r="C17" s="11" t="s">
        <v>32</v>
      </c>
      <c r="D17" s="14"/>
      <c r="E17" s="14"/>
      <c r="F17" s="14"/>
      <c r="G17" s="14"/>
      <c r="H17" s="14"/>
      <c r="I17" s="14"/>
      <c r="J17" s="17"/>
    </row>
    <row r="18" ht="30" customHeight="1" spans="1:10">
      <c r="A18" s="10"/>
      <c r="B18" s="11"/>
      <c r="C18" s="11" t="s">
        <v>33</v>
      </c>
      <c r="D18" s="14"/>
      <c r="E18" s="14"/>
      <c r="F18" s="14"/>
      <c r="G18" s="14"/>
      <c r="H18" s="14"/>
      <c r="I18" s="14"/>
      <c r="J18" s="17"/>
    </row>
    <row r="19" ht="30" customHeight="1" spans="1:10">
      <c r="A19" s="10"/>
      <c r="B19" s="11"/>
      <c r="C19" s="11" t="s">
        <v>34</v>
      </c>
      <c r="D19" s="14"/>
      <c r="E19" s="14"/>
      <c r="F19" s="14"/>
      <c r="G19" s="14"/>
      <c r="H19" s="14"/>
      <c r="I19" s="14"/>
      <c r="J19" s="17"/>
    </row>
    <row r="20" ht="30" customHeight="1" spans="1:10">
      <c r="A20" s="10"/>
      <c r="B20" s="11" t="s">
        <v>35</v>
      </c>
      <c r="C20" s="11" t="s">
        <v>36</v>
      </c>
      <c r="D20" s="14">
        <v>1.5</v>
      </c>
      <c r="E20" s="14">
        <v>1</v>
      </c>
      <c r="F20" s="14">
        <v>1.5</v>
      </c>
      <c r="G20" s="14">
        <v>3</v>
      </c>
      <c r="H20" s="14">
        <v>1</v>
      </c>
      <c r="I20" s="14"/>
      <c r="J20" s="17">
        <f>D20+E20+F20+G20+H20</f>
        <v>8</v>
      </c>
    </row>
    <row r="21" ht="30" customHeight="1" spans="1:10">
      <c r="A21" s="10"/>
      <c r="B21" s="11"/>
      <c r="C21" s="11" t="s">
        <v>37</v>
      </c>
      <c r="D21" s="14"/>
      <c r="E21" s="14"/>
      <c r="F21" s="14"/>
      <c r="G21" s="14"/>
      <c r="H21" s="14"/>
      <c r="I21" s="14"/>
      <c r="J21" s="17"/>
    </row>
    <row r="22" ht="30" customHeight="1" spans="1:10">
      <c r="A22" s="10"/>
      <c r="B22" s="11"/>
      <c r="C22" s="11" t="s">
        <v>38</v>
      </c>
      <c r="D22" s="14"/>
      <c r="E22" s="14"/>
      <c r="F22" s="14"/>
      <c r="G22" s="14"/>
      <c r="H22" s="14"/>
      <c r="I22" s="14"/>
      <c r="J22" s="17"/>
    </row>
    <row r="23" ht="30" customHeight="1" spans="1:10">
      <c r="A23" s="10"/>
      <c r="B23" s="11" t="s">
        <v>39</v>
      </c>
      <c r="C23" s="11" t="s">
        <v>40</v>
      </c>
      <c r="D23" s="14">
        <v>3</v>
      </c>
      <c r="E23" s="14">
        <v>1</v>
      </c>
      <c r="F23" s="14">
        <v>1.5</v>
      </c>
      <c r="G23" s="14">
        <v>4</v>
      </c>
      <c r="H23" s="14">
        <v>1</v>
      </c>
      <c r="I23" s="14"/>
      <c r="J23" s="17">
        <f>D23+E23+F23+G23+H23</f>
        <v>10.5</v>
      </c>
    </row>
    <row r="24" ht="30" customHeight="1" spans="1:10">
      <c r="A24" s="10"/>
      <c r="B24" s="11"/>
      <c r="C24" s="11" t="s">
        <v>41</v>
      </c>
      <c r="D24" s="14"/>
      <c r="E24" s="14"/>
      <c r="F24" s="14"/>
      <c r="G24" s="14"/>
      <c r="H24" s="14"/>
      <c r="I24" s="14"/>
      <c r="J24" s="17"/>
    </row>
    <row r="25" ht="30" customHeight="1" spans="1:10">
      <c r="A25" s="10"/>
      <c r="B25" s="11"/>
      <c r="C25" s="11" t="s">
        <v>42</v>
      </c>
      <c r="D25" s="14"/>
      <c r="E25" s="14"/>
      <c r="F25" s="14"/>
      <c r="G25" s="14"/>
      <c r="H25" s="14"/>
      <c r="I25" s="14"/>
      <c r="J25" s="17"/>
    </row>
    <row r="26" ht="30" customHeight="1" spans="1:10">
      <c r="A26" s="10"/>
      <c r="B26" s="11"/>
      <c r="C26" s="11" t="s">
        <v>43</v>
      </c>
      <c r="D26" s="14"/>
      <c r="E26" s="14"/>
      <c r="F26" s="14"/>
      <c r="G26" s="14"/>
      <c r="H26" s="14"/>
      <c r="I26" s="14"/>
      <c r="J26" s="17"/>
    </row>
    <row r="27" ht="30" customHeight="1" spans="1:10">
      <c r="A27" s="10"/>
      <c r="B27" s="11"/>
      <c r="C27" s="11" t="s">
        <v>44</v>
      </c>
      <c r="D27" s="14"/>
      <c r="E27" s="14"/>
      <c r="F27" s="14"/>
      <c r="G27" s="14"/>
      <c r="H27" s="14"/>
      <c r="I27" s="14"/>
      <c r="J27" s="17"/>
    </row>
    <row r="28" ht="30" customHeight="1" spans="1:10">
      <c r="A28" s="10"/>
      <c r="B28" s="11"/>
      <c r="C28" s="11" t="s">
        <v>45</v>
      </c>
      <c r="D28" s="14"/>
      <c r="E28" s="14"/>
      <c r="F28" s="14"/>
      <c r="G28" s="14"/>
      <c r="H28" s="14"/>
      <c r="I28" s="14"/>
      <c r="J28" s="17"/>
    </row>
    <row r="29" ht="30" customHeight="1" spans="1:10">
      <c r="A29" s="10"/>
      <c r="B29" s="11" t="s">
        <v>46</v>
      </c>
      <c r="C29" s="11" t="s">
        <v>47</v>
      </c>
      <c r="D29" s="14">
        <v>1.5</v>
      </c>
      <c r="E29" s="14">
        <v>0.5</v>
      </c>
      <c r="F29" s="14">
        <v>1.5</v>
      </c>
      <c r="G29" s="14">
        <v>2</v>
      </c>
      <c r="H29" s="14">
        <v>1</v>
      </c>
      <c r="I29" s="14"/>
      <c r="J29" s="17">
        <f>D29+E29+F29+G29+H29</f>
        <v>6.5</v>
      </c>
    </row>
    <row r="30" ht="30" customHeight="1" spans="1:10">
      <c r="A30" s="10"/>
      <c r="B30" s="11"/>
      <c r="C30" s="11" t="s">
        <v>48</v>
      </c>
      <c r="D30" s="14"/>
      <c r="E30" s="14"/>
      <c r="F30" s="14"/>
      <c r="G30" s="14"/>
      <c r="H30" s="14"/>
      <c r="I30" s="14"/>
      <c r="J30" s="17"/>
    </row>
    <row r="31" ht="30" customHeight="1" spans="1:10">
      <c r="A31" s="10"/>
      <c r="B31" s="11" t="s">
        <v>49</v>
      </c>
      <c r="C31" s="11" t="s">
        <v>50</v>
      </c>
      <c r="D31" s="14">
        <v>4</v>
      </c>
      <c r="E31" s="14">
        <v>1</v>
      </c>
      <c r="F31" s="14">
        <v>3</v>
      </c>
      <c r="G31" s="14">
        <v>4</v>
      </c>
      <c r="H31" s="14">
        <v>2</v>
      </c>
      <c r="I31" s="14"/>
      <c r="J31" s="17">
        <f>D31+E31+F31+G31+H31</f>
        <v>14</v>
      </c>
    </row>
    <row r="32" ht="30" customHeight="1" spans="1:10">
      <c r="A32" s="10"/>
      <c r="B32" s="11"/>
      <c r="C32" s="11" t="s">
        <v>51</v>
      </c>
      <c r="D32" s="14"/>
      <c r="E32" s="14"/>
      <c r="F32" s="14"/>
      <c r="G32" s="14"/>
      <c r="H32" s="14"/>
      <c r="I32" s="14"/>
      <c r="J32" s="17"/>
    </row>
    <row r="33" ht="30" customHeight="1" spans="1:10">
      <c r="A33" s="10"/>
      <c r="B33" s="11"/>
      <c r="C33" s="11" t="s">
        <v>52</v>
      </c>
      <c r="D33" s="14"/>
      <c r="E33" s="14"/>
      <c r="F33" s="14"/>
      <c r="G33" s="14"/>
      <c r="H33" s="14"/>
      <c r="I33" s="14"/>
      <c r="J33" s="17"/>
    </row>
    <row r="34" ht="30" customHeight="1" spans="1:10">
      <c r="A34" s="10"/>
      <c r="B34" s="11"/>
      <c r="C34" s="11" t="s">
        <v>53</v>
      </c>
      <c r="D34" s="14"/>
      <c r="E34" s="14"/>
      <c r="F34" s="14"/>
      <c r="G34" s="14"/>
      <c r="H34" s="14"/>
      <c r="I34" s="14"/>
      <c r="J34" s="17"/>
    </row>
    <row r="35" ht="30" customHeight="1" spans="1:10">
      <c r="A35" s="10"/>
      <c r="B35" s="11"/>
      <c r="C35" s="11" t="s">
        <v>54</v>
      </c>
      <c r="D35" s="14"/>
      <c r="E35" s="14"/>
      <c r="F35" s="14"/>
      <c r="G35" s="14"/>
      <c r="H35" s="14"/>
      <c r="I35" s="14"/>
      <c r="J35" s="17"/>
    </row>
    <row r="36" ht="30" customHeight="1" spans="1:10">
      <c r="A36" s="10"/>
      <c r="B36" s="11" t="s">
        <v>55</v>
      </c>
      <c r="C36" s="11" t="s">
        <v>56</v>
      </c>
      <c r="D36" s="14">
        <v>4</v>
      </c>
      <c r="E36" s="14">
        <v>2</v>
      </c>
      <c r="F36" s="14">
        <v>5</v>
      </c>
      <c r="G36" s="14">
        <v>9</v>
      </c>
      <c r="H36" s="14">
        <v>4</v>
      </c>
      <c r="I36" s="14"/>
      <c r="J36" s="17">
        <f>D36+E36+F36+G36+H36</f>
        <v>24</v>
      </c>
    </row>
    <row r="37" ht="30" customHeight="1" spans="1:10">
      <c r="A37" s="10"/>
      <c r="B37" s="11"/>
      <c r="C37" s="11" t="s">
        <v>57</v>
      </c>
      <c r="D37" s="14"/>
      <c r="E37" s="14"/>
      <c r="F37" s="14"/>
      <c r="G37" s="14"/>
      <c r="H37" s="14"/>
      <c r="I37" s="14"/>
      <c r="J37" s="17"/>
    </row>
    <row r="38" ht="30" customHeight="1" spans="1:10">
      <c r="A38" s="10"/>
      <c r="B38" s="11"/>
      <c r="C38" s="11" t="s">
        <v>58</v>
      </c>
      <c r="D38" s="14"/>
      <c r="E38" s="14"/>
      <c r="F38" s="14"/>
      <c r="G38" s="14"/>
      <c r="H38" s="14"/>
      <c r="I38" s="14"/>
      <c r="J38" s="17"/>
    </row>
    <row r="39" ht="30" customHeight="1" spans="1:10">
      <c r="A39" s="10"/>
      <c r="B39" s="11"/>
      <c r="C39" s="11" t="s">
        <v>59</v>
      </c>
      <c r="D39" s="14"/>
      <c r="E39" s="14"/>
      <c r="F39" s="14"/>
      <c r="G39" s="14"/>
      <c r="H39" s="14"/>
      <c r="I39" s="14"/>
      <c r="J39" s="17"/>
    </row>
    <row r="40" ht="30" customHeight="1" spans="1:10">
      <c r="A40" s="10"/>
      <c r="B40" s="11"/>
      <c r="C40" s="11" t="s">
        <v>60</v>
      </c>
      <c r="D40" s="14"/>
      <c r="E40" s="14"/>
      <c r="F40" s="14"/>
      <c r="G40" s="14"/>
      <c r="H40" s="14"/>
      <c r="I40" s="14"/>
      <c r="J40" s="17"/>
    </row>
    <row r="41" ht="30" customHeight="1" spans="1:10">
      <c r="A41" s="10"/>
      <c r="B41" s="11"/>
      <c r="C41" s="11" t="s">
        <v>61</v>
      </c>
      <c r="D41" s="14"/>
      <c r="E41" s="14"/>
      <c r="F41" s="14"/>
      <c r="G41" s="14"/>
      <c r="H41" s="14"/>
      <c r="I41" s="14"/>
      <c r="J41" s="17"/>
    </row>
    <row r="42" ht="30" customHeight="1" spans="1:10">
      <c r="A42" s="10"/>
      <c r="B42" s="11" t="s">
        <v>62</v>
      </c>
      <c r="C42" s="11" t="s">
        <v>63</v>
      </c>
      <c r="D42" s="13">
        <v>0.5</v>
      </c>
      <c r="E42" s="13">
        <v>0.5</v>
      </c>
      <c r="F42" s="12">
        <v>0.5</v>
      </c>
      <c r="G42" s="12">
        <v>2</v>
      </c>
      <c r="H42" s="12">
        <v>0.5</v>
      </c>
      <c r="I42" s="14"/>
      <c r="J42" s="16">
        <f>D42+E42+F42+G42+H42</f>
        <v>4</v>
      </c>
    </row>
    <row r="43" ht="30" customHeight="1" spans="1:10">
      <c r="A43" s="10"/>
      <c r="B43" s="11" t="s">
        <v>64</v>
      </c>
      <c r="C43" s="11" t="s">
        <v>65</v>
      </c>
      <c r="D43" s="14">
        <v>1</v>
      </c>
      <c r="E43" s="14">
        <v>1</v>
      </c>
      <c r="F43" s="14">
        <v>1.5</v>
      </c>
      <c r="G43" s="14">
        <v>6</v>
      </c>
      <c r="H43" s="14">
        <v>1.5</v>
      </c>
      <c r="I43" s="14"/>
      <c r="J43" s="17">
        <f>D43+E43+F43+G43+H43</f>
        <v>11</v>
      </c>
    </row>
    <row r="44" ht="30" customHeight="1" spans="1:10">
      <c r="A44" s="10"/>
      <c r="B44" s="11"/>
      <c r="C44" s="11" t="s">
        <v>66</v>
      </c>
      <c r="D44" s="14"/>
      <c r="E44" s="14"/>
      <c r="F44" s="14"/>
      <c r="G44" s="14"/>
      <c r="H44" s="14"/>
      <c r="I44" s="14"/>
      <c r="J44" s="17"/>
    </row>
    <row r="45" ht="30" customHeight="1" spans="1:10">
      <c r="A45" s="10"/>
      <c r="B45" s="11"/>
      <c r="C45" s="11" t="s">
        <v>67</v>
      </c>
      <c r="D45" s="14"/>
      <c r="E45" s="14"/>
      <c r="F45" s="14"/>
      <c r="G45" s="14"/>
      <c r="H45" s="14"/>
      <c r="I45" s="14"/>
      <c r="J45" s="17"/>
    </row>
    <row r="46" ht="30" customHeight="1" spans="1:10">
      <c r="A46" s="10"/>
      <c r="B46" s="11"/>
      <c r="C46" s="11" t="s">
        <v>68</v>
      </c>
      <c r="D46" s="14"/>
      <c r="E46" s="14"/>
      <c r="F46" s="14"/>
      <c r="G46" s="14"/>
      <c r="H46" s="14"/>
      <c r="I46" s="14"/>
      <c r="J46" s="17"/>
    </row>
    <row r="47" ht="30" customHeight="1" spans="1:10">
      <c r="A47" s="10"/>
      <c r="B47" s="11" t="s">
        <v>69</v>
      </c>
      <c r="C47" s="11" t="s">
        <v>70</v>
      </c>
      <c r="D47" s="13">
        <v>2</v>
      </c>
      <c r="E47" s="13">
        <v>0.5</v>
      </c>
      <c r="F47" s="12">
        <v>2</v>
      </c>
      <c r="G47" s="12">
        <v>3</v>
      </c>
      <c r="H47" s="12">
        <v>1.5</v>
      </c>
      <c r="I47" s="14"/>
      <c r="J47" s="16">
        <f>D47+E47+F47+G47+H47</f>
        <v>9</v>
      </c>
    </row>
    <row r="48" ht="30" customHeight="1" spans="1:10">
      <c r="A48" s="11" t="s">
        <v>71</v>
      </c>
      <c r="B48" s="11" t="s">
        <v>72</v>
      </c>
      <c r="C48" s="11" t="s">
        <v>14</v>
      </c>
      <c r="D48" s="13">
        <v>1</v>
      </c>
      <c r="E48" s="13">
        <v>0.5</v>
      </c>
      <c r="F48" s="12">
        <v>1</v>
      </c>
      <c r="G48" s="12">
        <v>1</v>
      </c>
      <c r="H48" s="12">
        <v>1</v>
      </c>
      <c r="I48" s="14"/>
      <c r="J48" s="16">
        <f>D48+E48+F48+G48+H48</f>
        <v>4.5</v>
      </c>
    </row>
    <row r="49" ht="30" customHeight="1" spans="1:10">
      <c r="A49" s="11"/>
      <c r="B49" s="11" t="s">
        <v>73</v>
      </c>
      <c r="C49" s="11" t="s">
        <v>74</v>
      </c>
      <c r="D49" s="14">
        <v>2</v>
      </c>
      <c r="E49" s="14">
        <v>1</v>
      </c>
      <c r="F49" s="14">
        <v>1</v>
      </c>
      <c r="G49" s="14">
        <v>3</v>
      </c>
      <c r="H49" s="14">
        <v>1</v>
      </c>
      <c r="I49" s="14"/>
      <c r="J49" s="17">
        <f>D49+E49+F49+G49+H49</f>
        <v>8</v>
      </c>
    </row>
    <row r="50" ht="30" customHeight="1" spans="1:10">
      <c r="A50" s="11"/>
      <c r="B50" s="11"/>
      <c r="C50" s="15" t="s">
        <v>75</v>
      </c>
      <c r="D50" s="14"/>
      <c r="E50" s="14"/>
      <c r="F50" s="14"/>
      <c r="G50" s="14"/>
      <c r="H50" s="14"/>
      <c r="I50" s="14"/>
      <c r="J50" s="17"/>
    </row>
    <row r="51" ht="30" customHeight="1" spans="1:10">
      <c r="A51" s="11"/>
      <c r="B51" s="11"/>
      <c r="C51" s="11" t="s">
        <v>76</v>
      </c>
      <c r="D51" s="14"/>
      <c r="E51" s="14"/>
      <c r="F51" s="14"/>
      <c r="G51" s="14"/>
      <c r="H51" s="14"/>
      <c r="I51" s="14"/>
      <c r="J51" s="17"/>
    </row>
    <row r="52" ht="30" customHeight="1" spans="1:10">
      <c r="A52" s="11"/>
      <c r="B52" s="11" t="s">
        <v>77</v>
      </c>
      <c r="C52" s="11" t="s">
        <v>78</v>
      </c>
      <c r="D52" s="14">
        <v>1</v>
      </c>
      <c r="E52" s="14">
        <v>1</v>
      </c>
      <c r="F52" s="14">
        <v>1.5</v>
      </c>
      <c r="G52" s="14">
        <v>4</v>
      </c>
      <c r="H52" s="14">
        <v>1.5</v>
      </c>
      <c r="I52" s="14"/>
      <c r="J52" s="18">
        <f>D52+E52+F52+G52+H52</f>
        <v>9</v>
      </c>
    </row>
    <row r="53" ht="30" customHeight="1" spans="1:10">
      <c r="A53" s="11"/>
      <c r="B53" s="11"/>
      <c r="C53" s="11" t="s">
        <v>79</v>
      </c>
      <c r="D53" s="14"/>
      <c r="E53" s="14"/>
      <c r="F53" s="14"/>
      <c r="G53" s="14"/>
      <c r="H53" s="14"/>
      <c r="I53" s="14"/>
      <c r="J53" s="18"/>
    </row>
    <row r="54" ht="30" customHeight="1" spans="1:10">
      <c r="A54" s="11"/>
      <c r="B54" s="11"/>
      <c r="C54" s="11" t="s">
        <v>80</v>
      </c>
      <c r="D54" s="14"/>
      <c r="E54" s="14"/>
      <c r="F54" s="14"/>
      <c r="G54" s="14"/>
      <c r="H54" s="14"/>
      <c r="I54" s="14"/>
      <c r="J54" s="18"/>
    </row>
    <row r="55" ht="30" customHeight="1" spans="1:10">
      <c r="A55" s="11"/>
      <c r="B55" s="11" t="s">
        <v>81</v>
      </c>
      <c r="C55" s="11" t="s">
        <v>82</v>
      </c>
      <c r="D55" s="13">
        <v>1</v>
      </c>
      <c r="E55" s="13">
        <v>1</v>
      </c>
      <c r="F55" s="12">
        <v>1</v>
      </c>
      <c r="G55" s="12">
        <v>2</v>
      </c>
      <c r="H55" s="12">
        <v>0.5</v>
      </c>
      <c r="I55" s="14"/>
      <c r="J55" s="16">
        <f>D55+E55+F55+G55+H55</f>
        <v>5.5</v>
      </c>
    </row>
    <row r="56" ht="30" customHeight="1" spans="1:10">
      <c r="A56" s="11"/>
      <c r="B56" s="11" t="s">
        <v>83</v>
      </c>
      <c r="C56" s="11" t="s">
        <v>84</v>
      </c>
      <c r="D56" s="14">
        <v>2</v>
      </c>
      <c r="E56" s="14">
        <v>0.5</v>
      </c>
      <c r="F56" s="14">
        <v>2</v>
      </c>
      <c r="G56" s="14">
        <v>3</v>
      </c>
      <c r="H56" s="14">
        <v>1</v>
      </c>
      <c r="I56" s="14"/>
      <c r="J56" s="17">
        <f>D56+E56+F56+G56+H56</f>
        <v>8.5</v>
      </c>
    </row>
    <row r="57" ht="30" customHeight="1" spans="1:10">
      <c r="A57" s="11"/>
      <c r="B57" s="11"/>
      <c r="C57" s="11" t="s">
        <v>85</v>
      </c>
      <c r="D57" s="14"/>
      <c r="E57" s="14"/>
      <c r="F57" s="14"/>
      <c r="G57" s="14"/>
      <c r="H57" s="14"/>
      <c r="I57" s="14"/>
      <c r="J57" s="17"/>
    </row>
    <row r="58" ht="30" customHeight="1" spans="1:10">
      <c r="A58" s="11"/>
      <c r="B58" s="11"/>
      <c r="C58" s="11" t="s">
        <v>86</v>
      </c>
      <c r="D58" s="14"/>
      <c r="E58" s="14"/>
      <c r="F58" s="14"/>
      <c r="G58" s="14"/>
      <c r="H58" s="14"/>
      <c r="I58" s="14"/>
      <c r="J58" s="17"/>
    </row>
    <row r="59" ht="30" customHeight="1" spans="1:10">
      <c r="A59" s="11" t="s">
        <v>87</v>
      </c>
      <c r="B59" s="11" t="s">
        <v>88</v>
      </c>
      <c r="C59" s="11" t="s">
        <v>89</v>
      </c>
      <c r="D59" s="14">
        <v>0.5</v>
      </c>
      <c r="E59" s="14">
        <v>0.5</v>
      </c>
      <c r="F59" s="14">
        <v>0.5</v>
      </c>
      <c r="G59" s="14">
        <v>0.5</v>
      </c>
      <c r="H59" s="14">
        <v>0.5</v>
      </c>
      <c r="I59" s="14"/>
      <c r="J59" s="17">
        <f>D59+E59+F59+G59+H59</f>
        <v>2.5</v>
      </c>
    </row>
    <row r="60" ht="30" customHeight="1" spans="1:10">
      <c r="A60" s="11"/>
      <c r="B60" s="11"/>
      <c r="C60" s="11" t="s">
        <v>90</v>
      </c>
      <c r="D60" s="14"/>
      <c r="E60" s="14"/>
      <c r="F60" s="14"/>
      <c r="G60" s="14"/>
      <c r="H60" s="14"/>
      <c r="I60" s="14"/>
      <c r="J60" s="17"/>
    </row>
    <row r="61" ht="30" customHeight="1" spans="1:10">
      <c r="A61" s="11"/>
      <c r="B61" s="11" t="s">
        <v>91</v>
      </c>
      <c r="C61" s="11" t="s">
        <v>92</v>
      </c>
      <c r="D61" s="14">
        <v>0.5</v>
      </c>
      <c r="E61" s="14">
        <v>1</v>
      </c>
      <c r="F61" s="14">
        <v>1</v>
      </c>
      <c r="G61" s="14">
        <v>3</v>
      </c>
      <c r="H61" s="14">
        <v>1</v>
      </c>
      <c r="I61" s="14"/>
      <c r="J61" s="17">
        <f>D61+E61+F61+G61+H61</f>
        <v>6.5</v>
      </c>
    </row>
    <row r="62" ht="30" customHeight="1" spans="1:10">
      <c r="A62" s="11"/>
      <c r="B62" s="11"/>
      <c r="C62" s="11" t="s">
        <v>93</v>
      </c>
      <c r="D62" s="14"/>
      <c r="E62" s="14"/>
      <c r="F62" s="14"/>
      <c r="G62" s="14"/>
      <c r="H62" s="14"/>
      <c r="I62" s="14"/>
      <c r="J62" s="17"/>
    </row>
    <row r="63" ht="30" customHeight="1" spans="1:10">
      <c r="A63" s="11"/>
      <c r="B63" s="11"/>
      <c r="C63" s="11" t="s">
        <v>94</v>
      </c>
      <c r="D63" s="14"/>
      <c r="E63" s="14"/>
      <c r="F63" s="14"/>
      <c r="G63" s="14"/>
      <c r="H63" s="14"/>
      <c r="I63" s="14"/>
      <c r="J63" s="17"/>
    </row>
    <row r="64" ht="30" customHeight="1" spans="1:10">
      <c r="A64" s="11"/>
      <c r="B64" s="11"/>
      <c r="C64" s="11" t="s">
        <v>95</v>
      </c>
      <c r="D64" s="14"/>
      <c r="E64" s="14"/>
      <c r="F64" s="14"/>
      <c r="G64" s="14"/>
      <c r="H64" s="14"/>
      <c r="I64" s="14"/>
      <c r="J64" s="17"/>
    </row>
    <row r="65" ht="30" customHeight="1" spans="1:10">
      <c r="A65" s="11"/>
      <c r="B65" s="11" t="s">
        <v>96</v>
      </c>
      <c r="C65" s="19" t="s">
        <v>97</v>
      </c>
      <c r="D65" s="14">
        <v>3</v>
      </c>
      <c r="E65" s="14">
        <v>3</v>
      </c>
      <c r="F65" s="14">
        <v>4</v>
      </c>
      <c r="G65" s="14">
        <v>8</v>
      </c>
      <c r="H65" s="14">
        <v>3</v>
      </c>
      <c r="I65" s="14"/>
      <c r="J65" s="17">
        <f>D65+E65+F65+G65+H65</f>
        <v>21</v>
      </c>
    </row>
    <row r="66" ht="30" customHeight="1" spans="1:10">
      <c r="A66" s="11"/>
      <c r="B66" s="11"/>
      <c r="C66" s="11" t="s">
        <v>98</v>
      </c>
      <c r="D66" s="14"/>
      <c r="E66" s="14"/>
      <c r="F66" s="14"/>
      <c r="G66" s="14"/>
      <c r="H66" s="14"/>
      <c r="I66" s="14"/>
      <c r="J66" s="17"/>
    </row>
    <row r="67" ht="30" customHeight="1" spans="1:10">
      <c r="A67" s="11"/>
      <c r="B67" s="11"/>
      <c r="C67" s="11" t="s">
        <v>99</v>
      </c>
      <c r="D67" s="14"/>
      <c r="E67" s="14"/>
      <c r="F67" s="14"/>
      <c r="G67" s="14"/>
      <c r="H67" s="14"/>
      <c r="I67" s="14"/>
      <c r="J67" s="17"/>
    </row>
    <row r="68" ht="30" customHeight="1" spans="1:10">
      <c r="A68" s="11"/>
      <c r="B68" s="11" t="s">
        <v>100</v>
      </c>
      <c r="C68" s="11" t="s">
        <v>101</v>
      </c>
      <c r="D68" s="14">
        <v>2</v>
      </c>
      <c r="E68" s="14">
        <v>2</v>
      </c>
      <c r="F68" s="14">
        <v>2</v>
      </c>
      <c r="G68" s="14">
        <v>4</v>
      </c>
      <c r="H68" s="14">
        <v>2</v>
      </c>
      <c r="I68" s="14"/>
      <c r="J68" s="17">
        <f>D68+E68+F68+G68+H68</f>
        <v>12</v>
      </c>
    </row>
    <row r="69" ht="30" customHeight="1" spans="1:10">
      <c r="A69" s="11"/>
      <c r="B69" s="11"/>
      <c r="C69" s="11" t="s">
        <v>102</v>
      </c>
      <c r="D69" s="14"/>
      <c r="E69" s="14"/>
      <c r="F69" s="14"/>
      <c r="G69" s="14"/>
      <c r="H69" s="14"/>
      <c r="I69" s="14"/>
      <c r="J69" s="17"/>
    </row>
    <row r="70" ht="30" customHeight="1" spans="1:10">
      <c r="A70" s="11"/>
      <c r="B70" s="11" t="s">
        <v>103</v>
      </c>
      <c r="C70" s="11" t="s">
        <v>104</v>
      </c>
      <c r="D70" s="14">
        <v>2.5</v>
      </c>
      <c r="E70" s="14">
        <v>1</v>
      </c>
      <c r="F70" s="14">
        <v>3</v>
      </c>
      <c r="G70" s="14">
        <v>6</v>
      </c>
      <c r="H70" s="14">
        <v>2</v>
      </c>
      <c r="I70" s="14"/>
      <c r="J70" s="18">
        <f>D70+E70+F70+G70+H70</f>
        <v>14.5</v>
      </c>
    </row>
    <row r="71" ht="30" customHeight="1" spans="1:10">
      <c r="A71" s="11"/>
      <c r="B71" s="11"/>
      <c r="C71" s="11" t="s">
        <v>105</v>
      </c>
      <c r="D71" s="14"/>
      <c r="E71" s="14"/>
      <c r="F71" s="14"/>
      <c r="G71" s="14"/>
      <c r="H71" s="14"/>
      <c r="I71" s="14"/>
      <c r="J71" s="18"/>
    </row>
    <row r="72" ht="30" customHeight="1" spans="1:10">
      <c r="A72" s="11"/>
      <c r="B72" s="11"/>
      <c r="C72" s="11" t="s">
        <v>106</v>
      </c>
      <c r="D72" s="14"/>
      <c r="E72" s="14"/>
      <c r="F72" s="14"/>
      <c r="G72" s="14"/>
      <c r="H72" s="14"/>
      <c r="I72" s="14"/>
      <c r="J72" s="18"/>
    </row>
    <row r="73" ht="30" customHeight="1" spans="1:10">
      <c r="A73" s="11"/>
      <c r="B73" s="11"/>
      <c r="C73" s="11" t="s">
        <v>107</v>
      </c>
      <c r="D73" s="14"/>
      <c r="E73" s="14"/>
      <c r="F73" s="14"/>
      <c r="G73" s="14"/>
      <c r="H73" s="14"/>
      <c r="I73" s="14"/>
      <c r="J73" s="18"/>
    </row>
    <row r="74" ht="30" customHeight="1" spans="1:10">
      <c r="A74" s="11"/>
      <c r="B74" s="11"/>
      <c r="C74" s="11" t="s">
        <v>108</v>
      </c>
      <c r="D74" s="14"/>
      <c r="E74" s="14"/>
      <c r="F74" s="14"/>
      <c r="G74" s="14"/>
      <c r="H74" s="14"/>
      <c r="I74" s="14"/>
      <c r="J74" s="18"/>
    </row>
    <row r="75" ht="30" customHeight="1" spans="1:10">
      <c r="A75" s="11"/>
      <c r="B75" s="11" t="s">
        <v>109</v>
      </c>
      <c r="C75" s="11" t="s">
        <v>110</v>
      </c>
      <c r="D75" s="14">
        <v>3</v>
      </c>
      <c r="E75" s="14">
        <v>2</v>
      </c>
      <c r="F75" s="14">
        <v>2.5</v>
      </c>
      <c r="G75" s="14">
        <v>7</v>
      </c>
      <c r="H75" s="14">
        <v>2</v>
      </c>
      <c r="I75" s="14"/>
      <c r="J75" s="17">
        <f>D75+E75+F75+G75+H75</f>
        <v>16.5</v>
      </c>
    </row>
    <row r="76" ht="30" customHeight="1" spans="1:10">
      <c r="A76" s="11"/>
      <c r="B76" s="11"/>
      <c r="C76" s="11" t="s">
        <v>111</v>
      </c>
      <c r="D76" s="14"/>
      <c r="E76" s="14"/>
      <c r="F76" s="14"/>
      <c r="G76" s="14"/>
      <c r="H76" s="14"/>
      <c r="I76" s="14"/>
      <c r="J76" s="17"/>
    </row>
    <row r="77" ht="30" customHeight="1" spans="1:10">
      <c r="A77" s="11"/>
      <c r="B77" s="11"/>
      <c r="C77" s="11" t="s">
        <v>112</v>
      </c>
      <c r="D77" s="14"/>
      <c r="E77" s="14"/>
      <c r="F77" s="14"/>
      <c r="G77" s="14"/>
      <c r="H77" s="14"/>
      <c r="I77" s="14"/>
      <c r="J77" s="17"/>
    </row>
    <row r="78" ht="30" customHeight="1" spans="1:10">
      <c r="A78" s="11"/>
      <c r="B78" s="11"/>
      <c r="C78" s="11" t="s">
        <v>113</v>
      </c>
      <c r="D78" s="14"/>
      <c r="E78" s="14"/>
      <c r="F78" s="14"/>
      <c r="G78" s="14"/>
      <c r="H78" s="14"/>
      <c r="I78" s="14"/>
      <c r="J78" s="17"/>
    </row>
    <row r="79" ht="30" customHeight="1" spans="1:10">
      <c r="A79" s="11"/>
      <c r="B79" s="11"/>
      <c r="C79" s="11" t="s">
        <v>114</v>
      </c>
      <c r="D79" s="14"/>
      <c r="E79" s="14"/>
      <c r="F79" s="14"/>
      <c r="G79" s="14"/>
      <c r="H79" s="14"/>
      <c r="I79" s="14"/>
      <c r="J79" s="17"/>
    </row>
    <row r="80" ht="30" customHeight="1" spans="1:10">
      <c r="A80" s="11"/>
      <c r="B80" s="11"/>
      <c r="C80" s="11" t="s">
        <v>115</v>
      </c>
      <c r="D80" s="14"/>
      <c r="E80" s="14"/>
      <c r="F80" s="14"/>
      <c r="G80" s="14"/>
      <c r="H80" s="14"/>
      <c r="I80" s="14"/>
      <c r="J80" s="17"/>
    </row>
    <row r="81" ht="30" customHeight="1" spans="1:10">
      <c r="A81" s="11"/>
      <c r="B81" s="11"/>
      <c r="C81" s="11" t="s">
        <v>116</v>
      </c>
      <c r="D81" s="14"/>
      <c r="E81" s="14"/>
      <c r="F81" s="14"/>
      <c r="G81" s="14"/>
      <c r="H81" s="14"/>
      <c r="I81" s="14"/>
      <c r="J81" s="17"/>
    </row>
    <row r="82" ht="30" customHeight="1" spans="1:10">
      <c r="A82" s="11"/>
      <c r="B82" s="11" t="s">
        <v>117</v>
      </c>
      <c r="C82" s="11" t="s">
        <v>118</v>
      </c>
      <c r="D82" s="14">
        <v>2</v>
      </c>
      <c r="E82" s="14">
        <v>0.5</v>
      </c>
      <c r="F82" s="14">
        <v>1.5</v>
      </c>
      <c r="G82" s="14">
        <v>3</v>
      </c>
      <c r="H82" s="14">
        <v>1</v>
      </c>
      <c r="I82" s="14"/>
      <c r="J82" s="17">
        <f>D82+E82+F82+G82+H82</f>
        <v>8</v>
      </c>
    </row>
    <row r="83" ht="30" customHeight="1" spans="1:10">
      <c r="A83" s="11"/>
      <c r="B83" s="11"/>
      <c r="C83" s="11" t="s">
        <v>119</v>
      </c>
      <c r="D83" s="14"/>
      <c r="E83" s="14"/>
      <c r="F83" s="14"/>
      <c r="G83" s="14"/>
      <c r="H83" s="14"/>
      <c r="I83" s="14"/>
      <c r="J83" s="17"/>
    </row>
    <row r="84" ht="30" customHeight="1" spans="1:10">
      <c r="A84" s="11"/>
      <c r="B84" s="11" t="s">
        <v>120</v>
      </c>
      <c r="C84" s="11" t="s">
        <v>121</v>
      </c>
      <c r="D84" s="14">
        <v>1</v>
      </c>
      <c r="E84" s="14">
        <v>0.5</v>
      </c>
      <c r="F84" s="14">
        <v>1</v>
      </c>
      <c r="G84" s="14">
        <v>2</v>
      </c>
      <c r="H84" s="14">
        <v>0.5</v>
      </c>
      <c r="I84" s="14"/>
      <c r="J84" s="17">
        <f>D84+E84+F84+G84+H84</f>
        <v>5</v>
      </c>
    </row>
    <row r="85" ht="30" customHeight="1" spans="1:10">
      <c r="A85" s="11"/>
      <c r="B85" s="11"/>
      <c r="C85" s="11" t="s">
        <v>122</v>
      </c>
      <c r="D85" s="14"/>
      <c r="E85" s="14"/>
      <c r="F85" s="14"/>
      <c r="G85" s="14"/>
      <c r="H85" s="14"/>
      <c r="I85" s="14"/>
      <c r="J85" s="17"/>
    </row>
    <row r="86" ht="30" customHeight="1" spans="1:10">
      <c r="A86" s="11"/>
      <c r="B86" s="11"/>
      <c r="C86" s="11" t="s">
        <v>123</v>
      </c>
      <c r="D86" s="14"/>
      <c r="E86" s="14"/>
      <c r="F86" s="14"/>
      <c r="G86" s="14"/>
      <c r="H86" s="14"/>
      <c r="I86" s="14"/>
      <c r="J86" s="17"/>
    </row>
    <row r="87" ht="30" customHeight="1" spans="1:10">
      <c r="A87" s="11"/>
      <c r="B87" s="11"/>
      <c r="C87" s="11" t="s">
        <v>124</v>
      </c>
      <c r="D87" s="14"/>
      <c r="E87" s="14"/>
      <c r="F87" s="14"/>
      <c r="G87" s="14"/>
      <c r="H87" s="14"/>
      <c r="I87" s="14"/>
      <c r="J87" s="17"/>
    </row>
    <row r="88" ht="30" customHeight="1" spans="1:10">
      <c r="A88" s="11" t="s">
        <v>125</v>
      </c>
      <c r="B88" s="11" t="s">
        <v>126</v>
      </c>
      <c r="C88" s="11" t="s">
        <v>127</v>
      </c>
      <c r="D88" s="14">
        <v>0.5</v>
      </c>
      <c r="E88" s="14">
        <v>0.5</v>
      </c>
      <c r="F88" s="14">
        <v>0.5</v>
      </c>
      <c r="G88" s="14">
        <v>1</v>
      </c>
      <c r="H88" s="14">
        <v>0.5</v>
      </c>
      <c r="I88" s="14"/>
      <c r="J88" s="17">
        <f>D88+E88+F88+G88+H88</f>
        <v>3</v>
      </c>
    </row>
    <row r="89" ht="30" customHeight="1" spans="1:10">
      <c r="A89" s="11"/>
      <c r="B89" s="11"/>
      <c r="C89" s="11" t="s">
        <v>128</v>
      </c>
      <c r="D89" s="14"/>
      <c r="E89" s="14"/>
      <c r="F89" s="14"/>
      <c r="G89" s="14"/>
      <c r="H89" s="14"/>
      <c r="I89" s="14"/>
      <c r="J89" s="17"/>
    </row>
    <row r="90" ht="30" customHeight="1" spans="1:10">
      <c r="A90" s="11"/>
      <c r="B90" s="11"/>
      <c r="C90" s="11" t="s">
        <v>129</v>
      </c>
      <c r="D90" s="14"/>
      <c r="E90" s="14"/>
      <c r="F90" s="14"/>
      <c r="G90" s="14"/>
      <c r="H90" s="14"/>
      <c r="I90" s="14"/>
      <c r="J90" s="17"/>
    </row>
    <row r="91" ht="30" customHeight="1" spans="1:10">
      <c r="A91" s="11"/>
      <c r="B91" s="11" t="s">
        <v>130</v>
      </c>
      <c r="C91" s="11" t="s">
        <v>131</v>
      </c>
      <c r="D91" s="14">
        <v>0.5</v>
      </c>
      <c r="E91" s="14">
        <v>0.5</v>
      </c>
      <c r="F91" s="14">
        <v>0.5</v>
      </c>
      <c r="G91" s="14">
        <v>3</v>
      </c>
      <c r="H91" s="14">
        <v>2</v>
      </c>
      <c r="I91" s="14"/>
      <c r="J91" s="17">
        <f>D91+E91+F91+G91+H91</f>
        <v>6.5</v>
      </c>
    </row>
    <row r="92" ht="30" customHeight="1" spans="1:10">
      <c r="A92" s="11"/>
      <c r="B92" s="11"/>
      <c r="C92" s="11" t="s">
        <v>132</v>
      </c>
      <c r="D92" s="14"/>
      <c r="E92" s="14"/>
      <c r="F92" s="14"/>
      <c r="G92" s="14"/>
      <c r="H92" s="14"/>
      <c r="I92" s="14"/>
      <c r="J92" s="17"/>
    </row>
    <row r="93" ht="30" customHeight="1" spans="1:10">
      <c r="A93" s="11"/>
      <c r="B93" s="11"/>
      <c r="C93" s="11" t="s">
        <v>133</v>
      </c>
      <c r="D93" s="14"/>
      <c r="E93" s="14"/>
      <c r="F93" s="14"/>
      <c r="G93" s="14"/>
      <c r="H93" s="14"/>
      <c r="I93" s="14"/>
      <c r="J93" s="17"/>
    </row>
    <row r="94" ht="30" customHeight="1" spans="1:10">
      <c r="A94" s="11"/>
      <c r="B94" s="11" t="s">
        <v>134</v>
      </c>
      <c r="C94" s="11" t="s">
        <v>135</v>
      </c>
      <c r="D94" s="14">
        <v>2</v>
      </c>
      <c r="E94" s="14">
        <v>1</v>
      </c>
      <c r="F94" s="14">
        <v>2.5</v>
      </c>
      <c r="G94" s="14">
        <v>5</v>
      </c>
      <c r="H94" s="14">
        <v>2</v>
      </c>
      <c r="I94" s="14"/>
      <c r="J94" s="17">
        <f>D94+E94+F94+G94+H94</f>
        <v>12.5</v>
      </c>
    </row>
    <row r="95" ht="30" customHeight="1" spans="1:10">
      <c r="A95" s="11"/>
      <c r="B95" s="11"/>
      <c r="C95" s="11" t="s">
        <v>136</v>
      </c>
      <c r="D95" s="14"/>
      <c r="E95" s="14"/>
      <c r="F95" s="14"/>
      <c r="G95" s="14"/>
      <c r="H95" s="14"/>
      <c r="I95" s="14"/>
      <c r="J95" s="17"/>
    </row>
    <row r="96" ht="30" customHeight="1" spans="1:10">
      <c r="A96" s="11"/>
      <c r="B96" s="11"/>
      <c r="C96" s="11" t="s">
        <v>137</v>
      </c>
      <c r="D96" s="14"/>
      <c r="E96" s="14"/>
      <c r="F96" s="14"/>
      <c r="G96" s="14"/>
      <c r="H96" s="14"/>
      <c r="I96" s="14"/>
      <c r="J96" s="17"/>
    </row>
    <row r="97" ht="30" customHeight="1" spans="1:10">
      <c r="A97" s="11"/>
      <c r="B97" s="11"/>
      <c r="C97" s="11" t="s">
        <v>138</v>
      </c>
      <c r="D97" s="14"/>
      <c r="E97" s="14"/>
      <c r="F97" s="14"/>
      <c r="G97" s="14"/>
      <c r="H97" s="14"/>
      <c r="I97" s="14"/>
      <c r="J97" s="17"/>
    </row>
    <row r="98" ht="30" customHeight="1" spans="1:10">
      <c r="A98" s="11"/>
      <c r="B98" s="11"/>
      <c r="C98" s="11" t="s">
        <v>139</v>
      </c>
      <c r="D98" s="14"/>
      <c r="E98" s="14"/>
      <c r="F98" s="14"/>
      <c r="G98" s="14"/>
      <c r="H98" s="14"/>
      <c r="I98" s="14"/>
      <c r="J98" s="17"/>
    </row>
    <row r="99" ht="30" customHeight="1" spans="1:10">
      <c r="A99" s="11"/>
      <c r="B99" s="11"/>
      <c r="C99" s="11" t="s">
        <v>140</v>
      </c>
      <c r="D99" s="14"/>
      <c r="E99" s="14"/>
      <c r="F99" s="14"/>
      <c r="G99" s="14"/>
      <c r="H99" s="14"/>
      <c r="I99" s="14"/>
      <c r="J99" s="17"/>
    </row>
    <row r="100" ht="30" customHeight="1" spans="1:10">
      <c r="A100" s="11"/>
      <c r="B100" s="11"/>
      <c r="C100" s="11" t="s">
        <v>141</v>
      </c>
      <c r="D100" s="14"/>
      <c r="E100" s="14"/>
      <c r="F100" s="14"/>
      <c r="G100" s="14"/>
      <c r="H100" s="14"/>
      <c r="I100" s="14"/>
      <c r="J100" s="17"/>
    </row>
    <row r="101" ht="30" customHeight="1" spans="1:10">
      <c r="A101" s="11"/>
      <c r="B101" s="11" t="s">
        <v>142</v>
      </c>
      <c r="C101" s="11" t="s">
        <v>143</v>
      </c>
      <c r="D101" s="14">
        <v>1</v>
      </c>
      <c r="E101" s="14">
        <v>0.5</v>
      </c>
      <c r="F101" s="14">
        <v>1.5</v>
      </c>
      <c r="G101" s="14">
        <v>2</v>
      </c>
      <c r="H101" s="14">
        <v>1</v>
      </c>
      <c r="I101" s="14"/>
      <c r="J101" s="17">
        <f>D101+E101+F101+G101+H101</f>
        <v>6</v>
      </c>
    </row>
    <row r="102" ht="30" customHeight="1" spans="1:10">
      <c r="A102" s="11"/>
      <c r="B102" s="11"/>
      <c r="C102" s="11" t="s">
        <v>144</v>
      </c>
      <c r="D102" s="14"/>
      <c r="E102" s="14"/>
      <c r="F102" s="14"/>
      <c r="G102" s="14"/>
      <c r="H102" s="14"/>
      <c r="I102" s="14"/>
      <c r="J102" s="17"/>
    </row>
    <row r="103" ht="30" customHeight="1" spans="1:10">
      <c r="A103" s="11"/>
      <c r="B103" s="11"/>
      <c r="C103" s="11" t="s">
        <v>145</v>
      </c>
      <c r="D103" s="14"/>
      <c r="E103" s="14"/>
      <c r="F103" s="14"/>
      <c r="G103" s="14"/>
      <c r="H103" s="14"/>
      <c r="I103" s="14"/>
      <c r="J103" s="17"/>
    </row>
    <row r="104" ht="30" customHeight="1" spans="1:10">
      <c r="A104" s="11"/>
      <c r="B104" s="11" t="s">
        <v>69</v>
      </c>
      <c r="C104" s="11" t="s">
        <v>146</v>
      </c>
      <c r="D104" s="14">
        <v>1</v>
      </c>
      <c r="E104" s="14">
        <v>0.5</v>
      </c>
      <c r="F104" s="14">
        <v>1</v>
      </c>
      <c r="G104" s="14">
        <v>1</v>
      </c>
      <c r="H104" s="14">
        <v>0.5</v>
      </c>
      <c r="I104" s="14"/>
      <c r="J104" s="17">
        <f>D104+E104+F104+G104+H104</f>
        <v>4</v>
      </c>
    </row>
    <row r="105" ht="30" customHeight="1" spans="1:10">
      <c r="A105" s="11"/>
      <c r="B105" s="11"/>
      <c r="C105" s="11" t="s">
        <v>147</v>
      </c>
      <c r="D105" s="14"/>
      <c r="E105" s="14"/>
      <c r="F105" s="14"/>
      <c r="G105" s="14"/>
      <c r="H105" s="14"/>
      <c r="I105" s="14"/>
      <c r="J105" s="17"/>
    </row>
    <row r="106" ht="30" customHeight="1" spans="1:10">
      <c r="A106" s="11"/>
      <c r="B106" s="11" t="s">
        <v>120</v>
      </c>
      <c r="C106" s="11" t="s">
        <v>148</v>
      </c>
      <c r="D106" s="13">
        <v>0.5</v>
      </c>
      <c r="E106" s="13">
        <v>0.5</v>
      </c>
      <c r="F106" s="12">
        <v>0.5</v>
      </c>
      <c r="G106" s="12">
        <v>0.5</v>
      </c>
      <c r="H106" s="12">
        <v>0.5</v>
      </c>
      <c r="I106" s="14"/>
      <c r="J106" s="16">
        <f>D106+E106+F106+G106+H106</f>
        <v>2.5</v>
      </c>
    </row>
    <row r="107" s="1" customFormat="1" ht="30" customHeight="1" spans="1:26">
      <c r="A107" s="20" t="s">
        <v>149</v>
      </c>
      <c r="B107" s="20"/>
      <c r="C107" s="20"/>
      <c r="D107" s="16">
        <f t="shared" ref="D107:H107" si="0">SUM(D4:D106)</f>
        <v>55</v>
      </c>
      <c r="E107" s="16">
        <f t="shared" si="0"/>
        <v>30</v>
      </c>
      <c r="F107" s="16">
        <f t="shared" si="0"/>
        <v>55</v>
      </c>
      <c r="G107" s="16">
        <f t="shared" si="0"/>
        <v>110</v>
      </c>
      <c r="H107" s="16">
        <f t="shared" si="0"/>
        <v>45</v>
      </c>
      <c r="I107" s="16">
        <v>5</v>
      </c>
      <c r="J107" s="16">
        <f>D107+E107+F107+G107+H107+I107</f>
        <v>300</v>
      </c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="1" customFormat="1" ht="30" customHeight="1" spans="1:26">
      <c r="A108" s="20" t="s">
        <v>150</v>
      </c>
      <c r="B108" s="20"/>
      <c r="C108" s="20"/>
      <c r="D108" s="16">
        <f>D107*D109</f>
        <v>38500</v>
      </c>
      <c r="E108" s="16">
        <f t="shared" ref="E108:J108" si="1">E107*E109</f>
        <v>15000</v>
      </c>
      <c r="F108" s="16">
        <f t="shared" si="1"/>
        <v>38500</v>
      </c>
      <c r="G108" s="16">
        <f t="shared" si="1"/>
        <v>99000</v>
      </c>
      <c r="H108" s="16">
        <f t="shared" si="1"/>
        <v>22500</v>
      </c>
      <c r="I108" s="16">
        <f t="shared" si="1"/>
        <v>3500</v>
      </c>
      <c r="J108" s="16">
        <f>I108+H108+G108+F108+E108+D108</f>
        <v>217000</v>
      </c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="2" customFormat="1" ht="21" customHeight="1" spans="1:26">
      <c r="A109" s="21"/>
      <c r="B109" s="21"/>
      <c r="C109" s="21"/>
      <c r="D109" s="22">
        <v>700</v>
      </c>
      <c r="E109" s="23">
        <v>500</v>
      </c>
      <c r="F109" s="23">
        <v>700</v>
      </c>
      <c r="G109" s="23">
        <v>900</v>
      </c>
      <c r="H109" s="23">
        <v>500</v>
      </c>
      <c r="I109" s="23">
        <v>700</v>
      </c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</sheetData>
  <mergeCells count="192">
    <mergeCell ref="A1:J1"/>
    <mergeCell ref="D2:J2"/>
    <mergeCell ref="A2:A3"/>
    <mergeCell ref="A4:A47"/>
    <mergeCell ref="A48:A58"/>
    <mergeCell ref="A59:A87"/>
    <mergeCell ref="A88:A106"/>
    <mergeCell ref="B2:B3"/>
    <mergeCell ref="B6:B9"/>
    <mergeCell ref="B10:B12"/>
    <mergeCell ref="B13:B15"/>
    <mergeCell ref="B16:B19"/>
    <mergeCell ref="B20:B22"/>
    <mergeCell ref="B23:B28"/>
    <mergeCell ref="B29:B30"/>
    <mergeCell ref="B31:B35"/>
    <mergeCell ref="B36:B41"/>
    <mergeCell ref="B43:B46"/>
    <mergeCell ref="B49:B51"/>
    <mergeCell ref="B52:B54"/>
    <mergeCell ref="B56:B58"/>
    <mergeCell ref="B59:B60"/>
    <mergeCell ref="B61:B64"/>
    <mergeCell ref="B65:B67"/>
    <mergeCell ref="B68:B69"/>
    <mergeCell ref="B70:B74"/>
    <mergeCell ref="B75:B81"/>
    <mergeCell ref="B82:B83"/>
    <mergeCell ref="B84:B87"/>
    <mergeCell ref="B88:B90"/>
    <mergeCell ref="B91:B93"/>
    <mergeCell ref="B94:B100"/>
    <mergeCell ref="B101:B103"/>
    <mergeCell ref="B104:B105"/>
    <mergeCell ref="C2:C3"/>
    <mergeCell ref="D6:D9"/>
    <mergeCell ref="D10:D12"/>
    <mergeCell ref="D13:D15"/>
    <mergeCell ref="D16:D19"/>
    <mergeCell ref="D20:D22"/>
    <mergeCell ref="D23:D28"/>
    <mergeCell ref="D29:D30"/>
    <mergeCell ref="D31:D35"/>
    <mergeCell ref="D36:D41"/>
    <mergeCell ref="D43:D46"/>
    <mergeCell ref="D49:D51"/>
    <mergeCell ref="D52:D54"/>
    <mergeCell ref="D56:D58"/>
    <mergeCell ref="D59:D60"/>
    <mergeCell ref="D61:D64"/>
    <mergeCell ref="D65:D67"/>
    <mergeCell ref="D68:D69"/>
    <mergeCell ref="D70:D74"/>
    <mergeCell ref="D75:D81"/>
    <mergeCell ref="D82:D83"/>
    <mergeCell ref="D84:D87"/>
    <mergeCell ref="D88:D90"/>
    <mergeCell ref="D91:D93"/>
    <mergeCell ref="D94:D100"/>
    <mergeCell ref="D101:D103"/>
    <mergeCell ref="D104:D105"/>
    <mergeCell ref="E6:E9"/>
    <mergeCell ref="E10:E12"/>
    <mergeCell ref="E13:E15"/>
    <mergeCell ref="E16:E19"/>
    <mergeCell ref="E20:E22"/>
    <mergeCell ref="E23:E28"/>
    <mergeCell ref="E29:E30"/>
    <mergeCell ref="E31:E35"/>
    <mergeCell ref="E36:E41"/>
    <mergeCell ref="E43:E46"/>
    <mergeCell ref="E49:E51"/>
    <mergeCell ref="E52:E54"/>
    <mergeCell ref="E56:E58"/>
    <mergeCell ref="E59:E60"/>
    <mergeCell ref="E61:E64"/>
    <mergeCell ref="E65:E67"/>
    <mergeCell ref="E68:E69"/>
    <mergeCell ref="E70:E74"/>
    <mergeCell ref="E75:E81"/>
    <mergeCell ref="E82:E83"/>
    <mergeCell ref="E84:E87"/>
    <mergeCell ref="E88:E90"/>
    <mergeCell ref="E91:E93"/>
    <mergeCell ref="E94:E100"/>
    <mergeCell ref="E101:E103"/>
    <mergeCell ref="E104:E105"/>
    <mergeCell ref="F6:F9"/>
    <mergeCell ref="F10:F12"/>
    <mergeCell ref="F13:F15"/>
    <mergeCell ref="F16:F19"/>
    <mergeCell ref="F20:F22"/>
    <mergeCell ref="F23:F28"/>
    <mergeCell ref="F29:F30"/>
    <mergeCell ref="F31:F35"/>
    <mergeCell ref="F36:F41"/>
    <mergeCell ref="F43:F46"/>
    <mergeCell ref="F49:F51"/>
    <mergeCell ref="F52:F54"/>
    <mergeCell ref="F56:F58"/>
    <mergeCell ref="F59:F60"/>
    <mergeCell ref="F61:F64"/>
    <mergeCell ref="F65:F67"/>
    <mergeCell ref="F68:F69"/>
    <mergeCell ref="F70:F74"/>
    <mergeCell ref="F75:F81"/>
    <mergeCell ref="F82:F83"/>
    <mergeCell ref="F84:F87"/>
    <mergeCell ref="F88:F90"/>
    <mergeCell ref="F91:F93"/>
    <mergeCell ref="F94:F100"/>
    <mergeCell ref="F101:F103"/>
    <mergeCell ref="F104:F105"/>
    <mergeCell ref="G6:G9"/>
    <mergeCell ref="G10:G12"/>
    <mergeCell ref="G13:G15"/>
    <mergeCell ref="G16:G19"/>
    <mergeCell ref="G20:G22"/>
    <mergeCell ref="G23:G28"/>
    <mergeCell ref="G29:G30"/>
    <mergeCell ref="G31:G35"/>
    <mergeCell ref="G36:G41"/>
    <mergeCell ref="G43:G46"/>
    <mergeCell ref="G49:G51"/>
    <mergeCell ref="G52:G54"/>
    <mergeCell ref="G56:G58"/>
    <mergeCell ref="G59:G60"/>
    <mergeCell ref="G61:G64"/>
    <mergeCell ref="G65:G67"/>
    <mergeCell ref="G68:G69"/>
    <mergeCell ref="G70:G74"/>
    <mergeCell ref="G75:G81"/>
    <mergeCell ref="G82:G83"/>
    <mergeCell ref="G84:G87"/>
    <mergeCell ref="G88:G90"/>
    <mergeCell ref="G91:G93"/>
    <mergeCell ref="G94:G100"/>
    <mergeCell ref="G101:G103"/>
    <mergeCell ref="G104:G105"/>
    <mergeCell ref="H6:H9"/>
    <mergeCell ref="H10:H12"/>
    <mergeCell ref="H13:H15"/>
    <mergeCell ref="H16:H19"/>
    <mergeCell ref="H20:H22"/>
    <mergeCell ref="H23:H28"/>
    <mergeCell ref="H29:H30"/>
    <mergeCell ref="H31:H35"/>
    <mergeCell ref="H36:H41"/>
    <mergeCell ref="H43:H46"/>
    <mergeCell ref="H49:H51"/>
    <mergeCell ref="H52:H54"/>
    <mergeCell ref="H56:H58"/>
    <mergeCell ref="H59:H60"/>
    <mergeCell ref="H61:H64"/>
    <mergeCell ref="H65:H67"/>
    <mergeCell ref="H68:H69"/>
    <mergeCell ref="H70:H74"/>
    <mergeCell ref="H75:H81"/>
    <mergeCell ref="H82:H83"/>
    <mergeCell ref="H84:H87"/>
    <mergeCell ref="H88:H90"/>
    <mergeCell ref="H91:H93"/>
    <mergeCell ref="H94:H100"/>
    <mergeCell ref="H101:H103"/>
    <mergeCell ref="H104:H105"/>
    <mergeCell ref="I4:I106"/>
    <mergeCell ref="J6:J9"/>
    <mergeCell ref="J10:J12"/>
    <mergeCell ref="J13:J15"/>
    <mergeCell ref="J16:J19"/>
    <mergeCell ref="J20:J22"/>
    <mergeCell ref="J23:J28"/>
    <mergeCell ref="J29:J30"/>
    <mergeCell ref="J31:J35"/>
    <mergeCell ref="J36:J41"/>
    <mergeCell ref="J43:J46"/>
    <mergeCell ref="J49:J51"/>
    <mergeCell ref="J52:J54"/>
    <mergeCell ref="J56:J58"/>
    <mergeCell ref="J59:J60"/>
    <mergeCell ref="J61:J64"/>
    <mergeCell ref="J65:J67"/>
    <mergeCell ref="J68:J69"/>
    <mergeCell ref="J70:J74"/>
    <mergeCell ref="J75:J81"/>
    <mergeCell ref="J82:J83"/>
    <mergeCell ref="J84:J87"/>
    <mergeCell ref="J88:J90"/>
    <mergeCell ref="J91:J93"/>
    <mergeCell ref="J94:J100"/>
    <mergeCell ref="J101:J103"/>
    <mergeCell ref="J104:J10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胡振翔</cp:lastModifiedBy>
  <dcterms:created xsi:type="dcterms:W3CDTF">2025-12-25T22:02:00Z</dcterms:created>
  <dcterms:modified xsi:type="dcterms:W3CDTF">2026-05-28T16:51:03Z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C304C1BDF464EBB95AF5176A5AEBFA5D_43</vt:lpwstr>
  </property>
  <property fmtid="{D5CDD505-2E9C-101B-9397-08002B2CF9AE}" pid="3" name="KSOProductBuildVer">
    <vt:lpwstr>2052-6.2.1.8344</vt:lpwstr>
  </property>
</Properties>
</file>